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bia Galindez\Documents\ORACLE\documents\presentations\GenAI Colombia equipo comercial\"/>
    </mc:Choice>
  </mc:AlternateContent>
  <xr:revisionPtr revIDLastSave="0" documentId="13_ncr:1_{B64F310B-8EE1-4064-8FBF-626C2CF5E7EF}" xr6:coauthVersionLast="47" xr6:coauthVersionMax="47" xr10:uidLastSave="{00000000-0000-0000-0000-000000000000}"/>
  <bookViews>
    <workbookView xWindow="-110" yWindow="-110" windowWidth="19420" windowHeight="11500" activeTab="1" xr2:uid="{6E6C14DB-995C-4AB0-A871-C124AD16035F}"/>
  </bookViews>
  <sheets>
    <sheet name="SKU" sheetId="3" r:id="rId1"/>
    <sheet name="BoM" sheetId="4" r:id="rId2"/>
  </sheets>
  <externalReferences>
    <externalReference r:id="rId3"/>
  </externalReferences>
  <definedNames>
    <definedName name="AVG_INPUT_TOKENS_SESSION">#REF!</definedName>
    <definedName name="AVG_ORD_USERS_MONTH">#REF!</definedName>
    <definedName name="AVG_OUTPUT_TOKENS_SESSION">#REF!</definedName>
    <definedName name="AVG_TOKENS_INPUT_AVG_INPUT_SESION">#REF!</definedName>
    <definedName name="AVG_TOKENS_OUTPUT_SESSIONS">#REF!</definedName>
    <definedName name="PROM_ORD_USUARIO_MES">[1]Variables!$B$3</definedName>
    <definedName name="Sessions_avg">#REF!</definedName>
    <definedName name="TOKEN_OUTPUT_AVG_SESION">[1]ADRI_Analisis!$B$4</definedName>
    <definedName name="TOKENS_INPUT_AVG_INPUT_SESION">#REF!</definedName>
    <definedName name="TOKENS_INPUT_AVG_SESION">[1]ADRI_Analisis!$B$3</definedName>
    <definedName name="TOKENS_SESSION">#REF!</definedName>
    <definedName name="USERS">#REF!</definedName>
    <definedName name="USUARIOS_FASE1">[1]Variables!$B$4</definedName>
    <definedName name="USUARIOS_FASE2">[1]Variables!$B$5</definedName>
    <definedName name="USUARIOS_FASE3">[1]Variables!$B$6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5" i="4"/>
  <c r="D5" i="4"/>
  <c r="H2" i="4"/>
  <c r="G3" i="4"/>
  <c r="G2" i="4"/>
  <c r="E3" i="4" l="1"/>
  <c r="E2" i="4"/>
  <c r="C3" i="4"/>
  <c r="B3" i="4"/>
  <c r="C2" i="4"/>
  <c r="B2" i="4"/>
</calcChain>
</file>

<file path=xl/sharedStrings.xml><?xml version="1.0" encoding="utf-8"?>
<sst xmlns="http://schemas.openxmlformats.org/spreadsheetml/2006/main" count="30" uniqueCount="23">
  <si>
    <t>Part #</t>
  </si>
  <si>
    <t>Offer Name</t>
  </si>
  <si>
    <t>Unit Price</t>
  </si>
  <si>
    <t>Metric</t>
  </si>
  <si>
    <t>B111438</t>
  </si>
  <si>
    <t xml:space="preserve">Oracle Cloud Infrastructure Generative AI - xAI - Grok 3 or Grok 4 - Input Tokens </t>
  </si>
  <si>
    <t xml:space="preserve">1,000,000 Tokens </t>
  </si>
  <si>
    <t>B111439</t>
  </si>
  <si>
    <t>Oracle Cloud Infrastructure Generative AI - xAI - Grok 3 or Grok 4 - Output Tokens</t>
  </si>
  <si>
    <t>B111901</t>
  </si>
  <si>
    <t>Oracle Cloud Infrastructure Generative AI - xAI - Grok 4 Fast - Input Tokens greater than 128K tokens</t>
  </si>
  <si>
    <t>B111904</t>
  </si>
  <si>
    <t>Oracle Cloud Infrastructure Generative AI - xAI - Grok 4 Fast - Output Tokens less than 128K tokens</t>
  </si>
  <si>
    <t>Description</t>
  </si>
  <si>
    <t>Unit Cost</t>
  </si>
  <si>
    <t>Tokens Quantity</t>
  </si>
  <si>
    <t>Total $</t>
  </si>
  <si>
    <t>Oracle Cloud Infrastructure Generative AI - Meta Llama 4 Maverick</t>
  </si>
  <si>
    <t>B111036</t>
  </si>
  <si>
    <t>10,000 Transactions</t>
  </si>
  <si>
    <t>Transactions Quantity</t>
  </si>
  <si>
    <t>Num_Events</t>
  </si>
  <si>
    <t>Cost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</si>
</sst>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43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left" vertical="center"/>
    </xf>
  </cellXfs>
  <cellStyles count="2">
    <cellStyle name="Millares 2" xfId="1" xr:uid="{C2347C63-A977-458B-AE8C-2781CE9D6E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sbia%20Galindez\Downloads\BOM_ADRI_White_Label_20251014%20(1).xlsx" TargetMode="External"/><Relationship Id="rId1" Type="http://schemas.openxmlformats.org/officeDocument/2006/relationships/externalLinkPath" Target="/Users/Lesbia%20Galindez/Downloads/BOM_ADRI_White_Label_2025101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RI_Analisis"/>
      <sheetName val="ADRI_Sesiones_20251010-20251014"/>
      <sheetName val="Variables"/>
      <sheetName val="Fases_Sesiones"/>
      <sheetName val="Rampa_Fases"/>
      <sheetName val="Rampa Sesiones"/>
      <sheetName val="BOM_ADRI_FASE1"/>
      <sheetName val="BOM_ADRI_FASE2"/>
      <sheetName val="BOM_ADRI_FASE3"/>
      <sheetName val="SKU"/>
    </sheetNames>
    <sheetDataSet>
      <sheetData sheetId="0">
        <row r="3">
          <cell r="B3">
            <v>411588.625</v>
          </cell>
        </row>
        <row r="4">
          <cell r="B4">
            <v>9733.625</v>
          </cell>
        </row>
      </sheetData>
      <sheetData sheetId="1"/>
      <sheetData sheetId="2">
        <row r="3">
          <cell r="B3">
            <v>8</v>
          </cell>
        </row>
        <row r="4">
          <cell r="B4">
            <v>30000</v>
          </cell>
        </row>
        <row r="5">
          <cell r="B5">
            <v>1000000</v>
          </cell>
        </row>
        <row r="6">
          <cell r="B6">
            <v>3000000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Part #</v>
          </cell>
          <cell r="B1" t="str">
            <v>Offer Name</v>
          </cell>
          <cell r="D1" t="str">
            <v>Metric</v>
          </cell>
        </row>
        <row r="2">
          <cell r="A2" t="str">
            <v>B111438</v>
          </cell>
          <cell r="B2" t="str">
            <v xml:space="preserve">Oracle Cloud Infrastructure Generative AI - xAI - Grok 3 or Grok 4 - Input Tokens </v>
          </cell>
          <cell r="D2" t="str">
            <v xml:space="preserve">1,000,000 Tokens </v>
          </cell>
        </row>
        <row r="3">
          <cell r="A3" t="str">
            <v>B111439</v>
          </cell>
          <cell r="B3" t="str">
            <v>Oracle Cloud Infrastructure Generative AI - xAI - Grok 3 or Grok 4 - Output Tokens</v>
          </cell>
          <cell r="D3" t="str">
            <v xml:space="preserve">1,000,000 Tokens </v>
          </cell>
        </row>
        <row r="4">
          <cell r="A4" t="str">
            <v>B111901</v>
          </cell>
          <cell r="B4" t="str">
            <v>Oracle Cloud Infrastructure Generative AI - xAI - Grok 4 Fast - Input Tokens greater than 128K tokens</v>
          </cell>
          <cell r="D4" t="str">
            <v xml:space="preserve">1,000,000 Tokens </v>
          </cell>
        </row>
        <row r="5">
          <cell r="A5" t="str">
            <v>B111904</v>
          </cell>
          <cell r="B5" t="str">
            <v>Oracle Cloud Infrastructure Generative AI - xAI - Grok 4 Fast - Output Tokens less than 128K tokens</v>
          </cell>
          <cell r="D5" t="str">
            <v xml:space="preserve">1,000,000 Tokens 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8EB7-456E-4C75-BE4E-683C1213C906}">
  <dimension ref="A1:D5"/>
  <sheetViews>
    <sheetView workbookViewId="0">
      <selection sqref="A1:B6"/>
    </sheetView>
  </sheetViews>
  <sheetFormatPr baseColWidth="10" defaultColWidth="8.7265625" defaultRowHeight="14.5" x14ac:dyDescent="0.35"/>
  <cols>
    <col min="2" max="2" width="91" bestFit="1" customWidth="1"/>
    <col min="4" max="4" width="16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3</v>
      </c>
      <c r="D2" t="s">
        <v>6</v>
      </c>
    </row>
    <row r="3" spans="1:4" x14ac:dyDescent="0.35">
      <c r="A3" t="s">
        <v>7</v>
      </c>
      <c r="B3" t="s">
        <v>8</v>
      </c>
      <c r="C3">
        <v>15</v>
      </c>
      <c r="D3" t="s">
        <v>6</v>
      </c>
    </row>
    <row r="4" spans="1:4" x14ac:dyDescent="0.35">
      <c r="A4" t="s">
        <v>9</v>
      </c>
      <c r="B4" t="s">
        <v>10</v>
      </c>
      <c r="C4">
        <v>0.4</v>
      </c>
      <c r="D4" t="s">
        <v>6</v>
      </c>
    </row>
    <row r="5" spans="1:4" x14ac:dyDescent="0.35">
      <c r="A5" t="s">
        <v>11</v>
      </c>
      <c r="B5" t="s">
        <v>12</v>
      </c>
      <c r="C5">
        <v>0.5</v>
      </c>
      <c r="D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0387-E982-4CEE-9C79-96329C55A588}">
  <dimension ref="A1:H5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2" max="2" width="86.08984375" customWidth="1"/>
    <col min="3" max="3" width="16.453125" customWidth="1"/>
    <col min="4" max="4" width="19.453125" customWidth="1"/>
    <col min="5" max="5" width="13.7265625" bestFit="1" customWidth="1"/>
    <col min="6" max="6" width="15.26953125" customWidth="1"/>
    <col min="7" max="7" width="14.1796875" bestFit="1" customWidth="1"/>
    <col min="8" max="8" width="11.7265625" bestFit="1" customWidth="1"/>
  </cols>
  <sheetData>
    <row r="1" spans="1:8" x14ac:dyDescent="0.35">
      <c r="A1" t="s">
        <v>0</v>
      </c>
      <c r="B1" t="s">
        <v>13</v>
      </c>
      <c r="C1" t="s">
        <v>3</v>
      </c>
      <c r="D1" s="1" t="s">
        <v>15</v>
      </c>
      <c r="E1" t="s">
        <v>14</v>
      </c>
      <c r="F1" t="s">
        <v>21</v>
      </c>
      <c r="G1" s="2" t="s">
        <v>22</v>
      </c>
      <c r="H1" t="s">
        <v>16</v>
      </c>
    </row>
    <row r="2" spans="1:8" x14ac:dyDescent="0.35">
      <c r="A2" t="s">
        <v>9</v>
      </c>
      <c r="B2" t="str">
        <f>_xlfn.XLOOKUP(A2,[1]SKU!A:A,[1]SKU!B:B)</f>
        <v>Oracle Cloud Infrastructure Generative AI - xAI - Grok 4 Fast - Input Tokens greater than 128K tokens</v>
      </c>
      <c r="C2" t="str">
        <f>_xlfn.XLOOKUP(A2,[1]SKU!A:A,[1]SKU!D:D)</f>
        <v xml:space="preserve">1,000,000 Tokens </v>
      </c>
      <c r="D2" s="8">
        <v>376875</v>
      </c>
      <c r="E2" s="1">
        <f>SKU!C4</f>
        <v>0.4</v>
      </c>
      <c r="F2" s="1">
        <v>10000</v>
      </c>
      <c r="G2" s="5">
        <f>D2*E2*F2/1000000</f>
        <v>1507.5</v>
      </c>
      <c r="H2" s="3">
        <f>G2+G3</f>
        <v>1521.5</v>
      </c>
    </row>
    <row r="3" spans="1:8" x14ac:dyDescent="0.35">
      <c r="A3" t="s">
        <v>11</v>
      </c>
      <c r="B3" t="str">
        <f>_xlfn.XLOOKUP(A3,[1]SKU!A:A,[1]SKU!B:B)</f>
        <v>Oracle Cloud Infrastructure Generative AI - xAI - Grok 4 Fast - Output Tokens less than 128K tokens</v>
      </c>
      <c r="C3" t="str">
        <f>_xlfn.XLOOKUP(A3,[1]SKU!A:A,[1]SKU!D:D)</f>
        <v xml:space="preserve">1,000,000 Tokens </v>
      </c>
      <c r="D3" s="8">
        <v>2800</v>
      </c>
      <c r="E3" s="1">
        <f>SKU!C5</f>
        <v>0.5</v>
      </c>
      <c r="F3" s="1">
        <v>10000</v>
      </c>
      <c r="G3" s="5">
        <f>D3*E3*F3/1000000</f>
        <v>14</v>
      </c>
      <c r="H3" s="3"/>
    </row>
    <row r="4" spans="1:8" x14ac:dyDescent="0.35">
      <c r="D4" s="1" t="s">
        <v>20</v>
      </c>
      <c r="G4" s="1"/>
    </row>
    <row r="5" spans="1:8" x14ac:dyDescent="0.35">
      <c r="A5" t="s">
        <v>18</v>
      </c>
      <c r="B5" t="s">
        <v>17</v>
      </c>
      <c r="C5" t="s">
        <v>19</v>
      </c>
      <c r="D5" s="7">
        <f>(D2+D3)*5</f>
        <v>1898375</v>
      </c>
      <c r="E5" s="1">
        <v>1.8E-3</v>
      </c>
      <c r="F5" s="4">
        <v>10000</v>
      </c>
      <c r="G5" s="6">
        <f>D5*E5*F5/10000</f>
        <v>3417.0749999999998</v>
      </c>
      <c r="H5" s="2">
        <f>G5</f>
        <v>3417.0749999999998</v>
      </c>
    </row>
  </sheetData>
  <mergeCells count="1">
    <mergeCell ref="H2:H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SKU</vt:lpstr>
      <vt:lpstr>BoM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Narvaez Prieto</dc:creator>
  <cp:lastModifiedBy>Lesbia Galindez</cp:lastModifiedBy>
  <dcterms:created xsi:type="dcterms:W3CDTF">2025-12-29T20:25:27Z</dcterms:created>
  <dcterms:modified xsi:type="dcterms:W3CDTF">2026-01-28T04:59:35Z</dcterms:modified>
</cp:coreProperties>
</file>